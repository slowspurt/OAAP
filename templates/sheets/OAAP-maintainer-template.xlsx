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0dc025c0c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8a8034cf664df6"/>
    <x:sheet xmlns:r="http://schemas.openxmlformats.org/officeDocument/2006/relationships" name="Records" sheetId="2" r:id="R0b111e0ceb96478a"/>
    <x:sheet xmlns:r="http://schemas.openxmlformats.org/officeDocument/2006/relationships" name="Settings" sheetId="3" r:id="Rea989c4c214b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mmm yyyy"/>
    <x:numFmt numFmtId="202" formatCode="yyyy-mm-dd hh:mm:ss"/>
  </x:numFmts>
  <x:fonts count="4">
    <x:font>
      <x:sz val="11"/>
      <x:name val="Carlito"/>
    </x:font>
    <x:font>
      <x:sz val="10"/>
      <x:color rgb="FF202124"/>
      <x:name val="Arial"/>
    </x:font>
    <x:font>
      <x:b/>
      <x:sz val="16"/>
      <x:color rgb="FF202124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1F3F4"/>
      </x:patternFill>
    </x:fill>
    <x:fill>
      <x:patternFill patternType="solid">
        <x:fgColor rgb="FFFFF8E1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50E0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a0ba2f070486d" /><Relationship Type="http://schemas.openxmlformats.org/officeDocument/2006/relationships/theme" Target="/xl/theme/theme1.xml" Id="R0943d72ba2d9432d" /><Relationship Type="http://schemas.openxmlformats.org/officeDocument/2006/relationships/sharedStrings" Target="/xl/sharedStrings.xml" Id="Rca106770405f4491" /><Relationship Type="http://schemas.openxmlformats.org/officeDocument/2006/relationships/worksheet" Target="/xl/worksheets/sheet1.xml" Id="R3f8a8034cf664df6" /><Relationship Type="http://schemas.openxmlformats.org/officeDocument/2006/relationships/worksheet" Target="/xl/worksheets/sheet2.xml" Id="R0b111e0ceb96478a" /><Relationship Type="http://schemas.openxmlformats.org/officeDocument/2006/relationships/worksheet" Target="/xl/worksheets/sheet3.xml" Id="Rea989c4c214b4a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846c7b33c742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Requests by use case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Requests</c:v>
          </c:tx>
          <c:spPr>
            <a:solidFill xmlns:a="http://schemas.openxmlformats.org/drawingml/2006/main">
              <a:srgbClr val="5F6368"/>
            </a:solidFill>
          </c:spPr>
          <c:cat>
            <c:strRef>
              <c:f>'Summary'!$A$26:$A$30</c:f>
              <c:strCache>
                <c:ptCount val="0"/>
              </c:strCache>
            </c:strRef>
          </c:cat>
          <c:val>
            <c:numRef>
              <c:f>'Summary'!$B$26:$B$30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24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846c7b33c742a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ea22c38b464e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OAAP · maintainer insights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 t="str">
        <x:v>Self-reported AI events. These are not GitHub-wide download counts.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7" t="str">
        <x:v>Metric</x:v>
      </x:c>
      <x:c r="B5" s="7" t="str">
        <x:v>Count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 t="str">
        <x:v>Access requests</x:v>
      </x:c>
      <x:c r="B6" s="2" t="n">
        <x:f>COUNTIF(Records!$J$2:$J$2001,Settings!$B$4)</x:f>
        <x:v>0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 ht="23" customHeight="1">
      <x:c r="A7" s="2" t="str">
        <x:v>Downloads succeeded</x:v>
      </x:c>
      <x:c r="B7" s="2" t="n">
        <x:f>COUNTIFS(Records!$J$2:$J$2001,Settings!$B$4,Records!$H$2:$H$2001,"succeeded")</x:f>
        <x:v>0</x:v>
      </x:c>
      <x:c r="C7" s="2"/>
      <x:c r="D7" s="2"/>
      <x:c r="E7" s="2"/>
      <x:c r="F7" s="2"/>
      <x:c r="G7" s="2"/>
      <x:c r="H7" s="2"/>
      <x:c r="I7" s="2"/>
      <x:c r="J7" s="2"/>
      <x:c r="K7" s="2"/>
    </x:row>
    <x:row r="8" ht="23" customHeight="1">
      <x:c r="A8" s="2" t="str">
        <x:v>Downloads failed</x:v>
      </x:c>
      <x:c r="B8" s="2" t="n">
        <x:f>COUNTIFS(Records!$J$2:$J$2001,Settings!$B$4,Records!$H$2:$H$2001,"failed")</x:f>
        <x:v>0</x:v>
      </x:c>
      <x:c r="C8" s="2"/>
      <x:c r="D8" s="2"/>
      <x:c r="E8" s="2"/>
      <x:c r="F8" s="2"/>
      <x:c r="G8" s="2"/>
      <x:c r="H8" s="2"/>
      <x:c r="I8" s="2"/>
      <x:c r="J8" s="2"/>
      <x:c r="K8" s="2"/>
    </x:row>
    <x:row r="9" ht="23" customHeight="1">
      <x:c r="A9" s="2" t="str">
        <x:v>Awaiting result</x:v>
      </x:c>
      <x:c r="B9" s="2" t="n">
        <x:f>COUNTIFS(Records!$J$2:$J$2001,Settings!$B$4,Records!$H$2:$H$2001,"pending")</x:f>
        <x:v>0</x:v>
      </x:c>
      <x:c r="C9" s="2"/>
      <x:c r="D9" s="2"/>
      <x:c r="E9" s="2"/>
      <x:c r="F9" s="2"/>
      <x:c r="G9" s="2"/>
      <x:c r="H9" s="2"/>
      <x:c r="I9" s="2"/>
      <x:c r="J9" s="2"/>
      <x:c r="K9" s="2"/>
    </x:row>
    <x:row r="10" ht="23" customHeight="1">
      <x:c r="A10" s="2" t="str">
        <x:v>Anonymized prompts</x:v>
      </x:c>
      <x:c r="B10" s="2" t="n">
        <x:f>COUNTIFS(Records!$J$2:$J$2001,Settings!$B$4,Records!$F$2:$F$2001,"anonymized")</x:f>
        <x:v>0</x:v>
      </x:c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3" customHeight="1">
      <x:c r="A12" s="2" t="str">
        <x:v>Reporting source</x:v>
      </x:c>
      <x:c r="B12" s="2" t="str">
        <x:f>Settings!B4</x:f>
        <x:v>demo</x:v>
      </x:c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3" customHeight="1">
      <x:c r="A13" s="2" t="str">
        <x:v>As of (UTC)</x:v>
      </x:c>
      <x:c r="B13" s="8" t="n">
        <x:f>Settings!B5</x:f>
        <x:v>46280</x:v>
      </x:c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3" customHeight="1">
      <x:c r="A16" s="7" t="str">
        <x:v>Month</x:v>
      </x:c>
      <x:c r="B16" s="7" t="str">
        <x:v>Requests</x:v>
      </x:c>
      <x:c r="C16" s="7" t="str">
        <x:v>Succeeded</x:v>
      </x:c>
      <x:c r="D16" s="2"/>
      <x:c r="E16" s="7" t="str">
        <x:v>Week of (Mon)</x:v>
      </x:c>
      <x:c r="F16" s="7" t="str">
        <x:v>Requests</x:v>
      </x:c>
      <x:c r="G16" s="7" t="str">
        <x:v>Succeeded</x:v>
      </x:c>
      <x:c r="H16" s="2"/>
      <x:c r="I16" s="2"/>
      <x:c r="J16" s="2"/>
      <x:c r="K16" s="2"/>
    </x:row>
    <x:row r="17" ht="23" customHeight="1">
      <x:c r="A17" s="9" t="n">
        <x:f>DATE(YEAR(Settings!$B$5),MONTH(Settings!$B$5)-5,1)</x:f>
        <x:v>46113</x:v>
      </x:c>
      <x:c r="B17" s="2" t="n">
        <x:f>COUNTIFS(Records!$A$2:$A$2001,"&gt;="&amp;A17,Records!$A$2:$A$2001,"&lt;"&amp;EDATE(A17,1),Records!$J$2:$J$2001,Settings!$B$4)</x:f>
        <x:v>0</x:v>
      </x:c>
      <x:c r="C17" s="2" t="n">
        <x:f>COUNTIFS(Records!$I$2:$I$2001,"&gt;="&amp;A17,Records!$I$2:$I$2001,"&lt;"&amp;EDATE(A17,1),Records!$J$2:$J$2001,Settings!$B$4,Records!$H$2:$H$2001,"succeeded")</x:f>
        <x:v>0</x:v>
      </x:c>
      <x:c r="D17" s="2"/>
      <x:c r="E17" s="8" t="n">
        <x:f>Settings!$B$5-WEEKDAY(Settings!$B$5,2)+1-35</x:f>
        <x:v>46244</x:v>
      </x:c>
      <x:c r="F17" s="2" t="n">
        <x:f>COUNTIFS(Records!$A$2:$A$2001,"&gt;="&amp;E17,Records!$A$2:$A$2001,"&lt;"&amp;E17+7,Records!$J$2:$J$2001,Settings!$B$4)</x:f>
        <x:v>0</x:v>
      </x:c>
      <x:c r="G17" s="2" t="n">
        <x:f>COUNTIFS(Records!$I$2:$I$2001,"&gt;="&amp;E17,Records!$I$2:$I$2001,"&lt;"&amp;E17+7,Records!$J$2:$J$2001,Settings!$B$4,Records!$H$2:$H$2001,"succeeded")</x:f>
        <x:v>0</x:v>
      </x:c>
      <x:c r="H17" s="2"/>
      <x:c r="I17" s="2"/>
      <x:c r="J17" s="2"/>
      <x:c r="K17" s="2"/>
    </x:row>
    <x:row r="18" ht="23" customHeight="1">
      <x:c r="A18" s="9" t="n">
        <x:f>DATE(YEAR(Settings!$B$5),MONTH(Settings!$B$5)-4,1)</x:f>
        <x:v>46143</x:v>
      </x:c>
      <x:c r="B18" s="2" t="n">
        <x:f>COUNTIFS(Records!$A$2:$A$2001,"&gt;="&amp;A18,Records!$A$2:$A$2001,"&lt;"&amp;EDATE(A18,1),Records!$J$2:$J$2001,Settings!$B$4)</x:f>
        <x:v>0</x:v>
      </x:c>
      <x:c r="C18" s="2" t="n">
        <x:f>COUNTIFS(Records!$I$2:$I$2001,"&gt;="&amp;A18,Records!$I$2:$I$2001,"&lt;"&amp;EDATE(A18,1),Records!$J$2:$J$2001,Settings!$B$4,Records!$H$2:$H$2001,"succeeded")</x:f>
        <x:v>0</x:v>
      </x:c>
      <x:c r="D18" s="2"/>
      <x:c r="E18" s="8" t="n">
        <x:f>Settings!$B$5-WEEKDAY(Settings!$B$5,2)+1-28</x:f>
        <x:v>46251</x:v>
      </x:c>
      <x:c r="F18" s="2" t="n">
        <x:f>COUNTIFS(Records!$A$2:$A$2001,"&gt;="&amp;E18,Records!$A$2:$A$2001,"&lt;"&amp;E18+7,Records!$J$2:$J$2001,Settings!$B$4)</x:f>
        <x:v>0</x:v>
      </x:c>
      <x:c r="G18" s="2" t="n">
        <x:f>COUNTIFS(Records!$I$2:$I$2001,"&gt;="&amp;E18,Records!$I$2:$I$2001,"&lt;"&amp;E18+7,Records!$J$2:$J$2001,Settings!$B$4,Records!$H$2:$H$2001,"succeeded")</x:f>
        <x:v>0</x:v>
      </x:c>
      <x:c r="H18" s="2"/>
      <x:c r="I18" s="2"/>
      <x:c r="J18" s="2"/>
      <x:c r="K18" s="2"/>
    </x:row>
    <x:row r="19" ht="23" customHeight="1">
      <x:c r="A19" s="9" t="n">
        <x:f>DATE(YEAR(Settings!$B$5),MONTH(Settings!$B$5)-3,1)</x:f>
        <x:v>46174</x:v>
      </x:c>
      <x:c r="B19" s="2" t="n">
        <x:f>COUNTIFS(Records!$A$2:$A$2001,"&gt;="&amp;A19,Records!$A$2:$A$2001,"&lt;"&amp;EDATE(A19,1),Records!$J$2:$J$2001,Settings!$B$4)</x:f>
        <x:v>0</x:v>
      </x:c>
      <x:c r="C19" s="2" t="n">
        <x:f>COUNTIFS(Records!$I$2:$I$2001,"&gt;="&amp;A19,Records!$I$2:$I$2001,"&lt;"&amp;EDATE(A19,1),Records!$J$2:$J$2001,Settings!$B$4,Records!$H$2:$H$2001,"succeeded")</x:f>
        <x:v>0</x:v>
      </x:c>
      <x:c r="D19" s="2"/>
      <x:c r="E19" s="8" t="n">
        <x:f>Settings!$B$5-WEEKDAY(Settings!$B$5,2)+1-21</x:f>
        <x:v>46258</x:v>
      </x:c>
      <x:c r="F19" s="2" t="n">
        <x:f>COUNTIFS(Records!$A$2:$A$2001,"&gt;="&amp;E19,Records!$A$2:$A$2001,"&lt;"&amp;E19+7,Records!$J$2:$J$2001,Settings!$B$4)</x:f>
        <x:v>0</x:v>
      </x:c>
      <x:c r="G19" s="2" t="n">
        <x:f>COUNTIFS(Records!$I$2:$I$2001,"&gt;="&amp;E19,Records!$I$2:$I$2001,"&lt;"&amp;E19+7,Records!$J$2:$J$2001,Settings!$B$4,Records!$H$2:$H$2001,"succeeded")</x:f>
        <x:v>0</x:v>
      </x:c>
      <x:c r="H19" s="2"/>
      <x:c r="I19" s="2"/>
      <x:c r="J19" s="2"/>
      <x:c r="K19" s="2"/>
    </x:row>
    <x:row r="20" ht="23" customHeight="1">
      <x:c r="A20" s="9" t="n">
        <x:f>DATE(YEAR(Settings!$B$5),MONTH(Settings!$B$5)-2,1)</x:f>
        <x:v>46204</x:v>
      </x:c>
      <x:c r="B20" s="2" t="n">
        <x:f>COUNTIFS(Records!$A$2:$A$2001,"&gt;="&amp;A20,Records!$A$2:$A$2001,"&lt;"&amp;EDATE(A20,1),Records!$J$2:$J$2001,Settings!$B$4)</x:f>
        <x:v>0</x:v>
      </x:c>
      <x:c r="C20" s="2" t="n">
        <x:f>COUNTIFS(Records!$I$2:$I$2001,"&gt;="&amp;A20,Records!$I$2:$I$2001,"&lt;"&amp;EDATE(A20,1),Records!$J$2:$J$2001,Settings!$B$4,Records!$H$2:$H$2001,"succeeded")</x:f>
        <x:v>0</x:v>
      </x:c>
      <x:c r="D20" s="2"/>
      <x:c r="E20" s="8" t="n">
        <x:f>Settings!$B$5-WEEKDAY(Settings!$B$5,2)+1-14</x:f>
        <x:v>46265</x:v>
      </x:c>
      <x:c r="F20" s="2" t="n">
        <x:f>COUNTIFS(Records!$A$2:$A$2001,"&gt;="&amp;E20,Records!$A$2:$A$2001,"&lt;"&amp;E20+7,Records!$J$2:$J$2001,Settings!$B$4)</x:f>
        <x:v>0</x:v>
      </x:c>
      <x:c r="G20" s="2" t="n">
        <x:f>COUNTIFS(Records!$I$2:$I$2001,"&gt;="&amp;E20,Records!$I$2:$I$2001,"&lt;"&amp;E20+7,Records!$J$2:$J$2001,Settings!$B$4,Records!$H$2:$H$2001,"succeeded")</x:f>
        <x:v>0</x:v>
      </x:c>
      <x:c r="H20" s="2"/>
      <x:c r="I20" s="2"/>
      <x:c r="J20" s="2"/>
      <x:c r="K20" s="2"/>
    </x:row>
    <x:row r="21" ht="23" customHeight="1">
      <x:c r="A21" s="9" t="n">
        <x:f>DATE(YEAR(Settings!$B$5),MONTH(Settings!$B$5)-1,1)</x:f>
        <x:v>46235</x:v>
      </x:c>
      <x:c r="B21" s="2" t="n">
        <x:f>COUNTIFS(Records!$A$2:$A$2001,"&gt;="&amp;A21,Records!$A$2:$A$2001,"&lt;"&amp;EDATE(A21,1),Records!$J$2:$J$2001,Settings!$B$4)</x:f>
        <x:v>0</x:v>
      </x:c>
      <x:c r="C21" s="2" t="n">
        <x:f>COUNTIFS(Records!$I$2:$I$2001,"&gt;="&amp;A21,Records!$I$2:$I$2001,"&lt;"&amp;EDATE(A21,1),Records!$J$2:$J$2001,Settings!$B$4,Records!$H$2:$H$2001,"succeeded")</x:f>
        <x:v>0</x:v>
      </x:c>
      <x:c r="D21" s="2"/>
      <x:c r="E21" s="8" t="n">
        <x:f>Settings!$B$5-WEEKDAY(Settings!$B$5,2)+1-7</x:f>
        <x:v>46272</x:v>
      </x:c>
      <x:c r="F21" s="2" t="n">
        <x:f>COUNTIFS(Records!$A$2:$A$2001,"&gt;="&amp;E21,Records!$A$2:$A$2001,"&lt;"&amp;E21+7,Records!$J$2:$J$2001,Settings!$B$4)</x:f>
        <x:v>0</x:v>
      </x:c>
      <x:c r="G21" s="2" t="n">
        <x:f>COUNTIFS(Records!$I$2:$I$2001,"&gt;="&amp;E21,Records!$I$2:$I$2001,"&lt;"&amp;E21+7,Records!$J$2:$J$2001,Settings!$B$4,Records!$H$2:$H$2001,"succeeded")</x:f>
        <x:v>0</x:v>
      </x:c>
      <x:c r="H21" s="2"/>
      <x:c r="I21" s="2"/>
      <x:c r="J21" s="2"/>
      <x:c r="K21" s="2"/>
    </x:row>
    <x:row r="22" ht="23" customHeight="1">
      <x:c r="A22" s="9" t="n">
        <x:f>DATE(YEAR(Settings!$B$5),MONTH(Settings!$B$5)-0,1)</x:f>
        <x:v>46266</x:v>
      </x:c>
      <x:c r="B22" s="2" t="n">
        <x:f>COUNTIFS(Records!$A$2:$A$2001,"&gt;="&amp;A22,Records!$A$2:$A$2001,"&lt;"&amp;EDATE(A22,1),Records!$J$2:$J$2001,Settings!$B$4)</x:f>
        <x:v>0</x:v>
      </x:c>
      <x:c r="C22" s="2" t="n">
        <x:f>COUNTIFS(Records!$I$2:$I$2001,"&gt;="&amp;A22,Records!$I$2:$I$2001,"&lt;"&amp;EDATE(A22,1),Records!$J$2:$J$2001,Settings!$B$4,Records!$H$2:$H$2001,"succeeded")</x:f>
        <x:v>0</x:v>
      </x:c>
      <x:c r="D22" s="2"/>
      <x:c r="E22" s="8" t="n">
        <x:f>Settings!$B$5-WEEKDAY(Settings!$B$5,2)+1-0</x:f>
        <x:v>46279</x:v>
      </x:c>
      <x:c r="F22" s="2" t="n">
        <x:f>COUNTIFS(Records!$A$2:$A$2001,"&gt;="&amp;E22,Records!$A$2:$A$2001,"&lt;"&amp;E22+7,Records!$J$2:$J$2001,Settings!$B$4)</x:f>
        <x:v>0</x:v>
      </x:c>
      <x:c r="G22" s="2" t="n">
        <x:f>COUNTIFS(Records!$I$2:$I$2001,"&gt;="&amp;E22,Records!$I$2:$I$2001,"&lt;"&amp;E22+7,Records!$J$2:$J$2001,Settings!$B$4,Records!$H$2:$H$2001,"succeeded")</x:f>
        <x:v>0</x:v>
      </x:c>
      <x:c r="H22" s="2"/>
      <x:c r="I22" s="2"/>
      <x:c r="J22" s="2"/>
      <x:c r="K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7" t="str">
        <x:v>Use-case category</x:v>
      </x:c>
      <x:c r="B25" s="7" t="str">
        <x:v>Requests</x:v>
      </x:c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 t="str">
        <x:v>automation</x:v>
      </x:c>
      <x:c r="B26" s="2" t="n">
        <x:f>COUNTIFS(Records!$G$2:$G$2001,A26,Records!$J$2:$J$2001,Settings!$B$4)</x:f>
        <x:v>0</x:v>
      </x:c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 t="str">
        <x:v>development</x:v>
      </x:c>
      <x:c r="B27" s="2" t="n">
        <x:f>COUNTIFS(Records!$G$2:$G$2001,A27,Records!$J$2:$J$2001,Settings!$B$4)</x:f>
        <x:v>0</x:v>
      </x:c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 t="str">
        <x:v>research</x:v>
      </x:c>
      <x:c r="B28" s="2" t="n">
        <x:f>COUNTIFS(Records!$G$2:$G$2001,A28,Records!$J$2:$J$2001,Settings!$B$4)</x:f>
        <x:v>0</x:v>
      </x:c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 t="str">
        <x:v>education</x:v>
      </x:c>
      <x:c r="B29" s="2" t="n">
        <x:f>COUNTIFS(Records!$G$2:$G$2001,A29,Records!$J$2:$J$2001,Settings!$B$4)</x:f>
        <x:v>0</x:v>
      </x:c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 t="str">
        <x:v>other</x:v>
      </x:c>
      <x:c r="B30" s="2" t="n">
        <x:f>COUNTIFS(Records!$G$2:$G$2001,A30,Records!$J$2:$J$2001,Settings!$B$4)</x:f>
        <x:v>0</x:v>
      </x:c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3" customHeight="1">
      <x:c r="A33" s="2" t="str">
        <x:v>Requests use receipt time; successes use completion time. All periods use UTC.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</x:sheetData>
  <x:pageMargins left="0.7" right="0.7" top="0.75" bottom="0.75" header="0.3" footer="0.3"/>
  <x:drawing xmlns:r="http://schemas.openxmlformats.org/officeDocument/2006/relationships" r:id="Rc2ea22c38b464ed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8" customHeight="1">
      <x:c r="A1" s="7" t="str">
        <x:v>Received at (UTC)</x:v>
      </x:c>
      <x:c r="B1" s="7" t="str">
        <x:v>Event ID</x:v>
      </x:c>
      <x:c r="C1" s="7" t="str">
        <x:v>Repository</x:v>
      </x:c>
      <x:c r="D1" s="7" t="str">
        <x:v>Agent (self-reported)</x:v>
      </x:c>
      <x:c r="E1" s="7" t="str">
        <x:v>Final access prompt</x:v>
      </x:c>
      <x:c r="F1" s="7" t="str">
        <x:v>Prompt treatment</x:v>
      </x:c>
      <x:c r="G1" s="7" t="str">
        <x:v>Category</x:v>
      </x:c>
      <x:c r="H1" s="7" t="str">
        <x:v>Download status</x:v>
      </x:c>
      <x:c r="I1" s="7" t="str">
        <x:v>Completed at (UTC)</x:v>
      </x:c>
      <x:c r="J1" s="7" t="str">
        <x:v>Source</x:v>
      </x:c>
      <x:c r="K1" s="7" t="str">
        <x:v>Update key hash</x:v>
      </x:c>
    </x:row>
    <x:row r="2" ht="23" customHeight="1">
      <x:c r="A2" s="11"/>
      <x:c r="B2" s="2"/>
      <x:c r="C2" s="2"/>
      <x:c r="D2" s="2"/>
      <x:c r="E2" s="10"/>
      <x:c r="F2" s="2"/>
      <x:c r="G2" s="2"/>
      <x:c r="H2" s="2"/>
      <x:c r="I2" s="11"/>
      <x:c r="J2" s="2"/>
      <x:c r="K2" s="2"/>
    </x:row>
    <x:row r="3" ht="23" customHeight="1">
      <x:c r="A3" s="11"/>
      <x:c r="B3" s="2"/>
      <x:c r="C3" s="2"/>
      <x:c r="D3" s="2"/>
      <x:c r="E3" s="10"/>
      <x:c r="F3" s="2"/>
      <x:c r="G3" s="2"/>
      <x:c r="H3" s="2"/>
      <x:c r="I3" s="11"/>
      <x:c r="J3" s="2"/>
      <x:c r="K3" s="2"/>
    </x:row>
    <x:row r="4" ht="23" customHeight="1">
      <x:c r="A4" s="11"/>
      <x:c r="B4" s="2"/>
      <x:c r="C4" s="2"/>
      <x:c r="D4" s="2"/>
      <x:c r="E4" s="10"/>
      <x:c r="F4" s="2"/>
      <x:c r="G4" s="2"/>
      <x:c r="H4" s="2"/>
      <x:c r="I4" s="11"/>
      <x:c r="J4" s="2"/>
      <x:c r="K4" s="2"/>
    </x:row>
    <x:row r="5" ht="23" customHeight="1">
      <x:c r="A5" s="11"/>
      <x:c r="B5" s="2"/>
      <x:c r="C5" s="2"/>
      <x:c r="D5" s="2"/>
      <x:c r="E5" s="10"/>
      <x:c r="F5" s="2"/>
      <x:c r="G5" s="2"/>
      <x:c r="H5" s="2"/>
      <x:c r="I5" s="11"/>
      <x:c r="J5" s="2"/>
      <x:c r="K5" s="2"/>
    </x:row>
    <x:row r="6" ht="23" customHeight="1">
      <x:c r="A6" s="11"/>
      <x:c r="B6" s="2"/>
      <x:c r="C6" s="2"/>
      <x:c r="D6" s="2"/>
      <x:c r="E6" s="10"/>
      <x:c r="F6" s="2"/>
      <x:c r="G6" s="2"/>
      <x:c r="H6" s="2"/>
      <x:c r="I6" s="11"/>
      <x:c r="J6" s="2"/>
      <x:c r="K6" s="2"/>
    </x:row>
    <x:row r="7" ht="23" customHeight="1">
      <x:c r="A7" s="11"/>
      <x:c r="B7" s="2"/>
      <x:c r="C7" s="2"/>
      <x:c r="D7" s="2"/>
      <x:c r="E7" s="10"/>
      <x:c r="F7" s="2"/>
      <x:c r="G7" s="2"/>
      <x:c r="H7" s="2"/>
      <x:c r="I7" s="11"/>
      <x:c r="J7" s="2"/>
      <x:c r="K7" s="2"/>
    </x:row>
    <x:row r="8" ht="23" customHeight="1">
      <x:c r="A8" s="11"/>
      <x:c r="B8" s="2"/>
      <x:c r="C8" s="2"/>
      <x:c r="D8" s="2"/>
      <x:c r="E8" s="10"/>
      <x:c r="F8" s="2"/>
      <x:c r="G8" s="2"/>
      <x:c r="H8" s="2"/>
      <x:c r="I8" s="11"/>
      <x:c r="J8" s="2"/>
      <x:c r="K8" s="2"/>
    </x:row>
    <x:row r="9" ht="23" customHeight="1">
      <x:c r="A9" s="11"/>
      <x:c r="B9" s="2"/>
      <x:c r="C9" s="2"/>
      <x:c r="D9" s="2"/>
      <x:c r="E9" s="10"/>
      <x:c r="F9" s="2"/>
      <x:c r="G9" s="2"/>
      <x:c r="H9" s="2"/>
      <x:c r="I9" s="11"/>
      <x:c r="J9" s="2"/>
      <x:c r="K9" s="2"/>
    </x:row>
    <x:row r="10" ht="23" customHeight="1">
      <x:c r="A10" s="11"/>
      <x:c r="B10" s="2"/>
      <x:c r="C10" s="2"/>
      <x:c r="D10" s="2"/>
      <x:c r="E10" s="10"/>
      <x:c r="F10" s="2"/>
      <x:c r="G10" s="2"/>
      <x:c r="H10" s="2"/>
      <x:c r="I10" s="11"/>
      <x:c r="J10" s="2"/>
      <x:c r="K10" s="2"/>
    </x:row>
    <x:row r="11" ht="23" customHeight="1">
      <x:c r="A11" s="11"/>
      <x:c r="B11" s="2"/>
      <x:c r="C11" s="2"/>
      <x:c r="D11" s="2"/>
      <x:c r="E11" s="10"/>
      <x:c r="F11" s="2"/>
      <x:c r="G11" s="2"/>
      <x:c r="H11" s="2"/>
      <x:c r="I11" s="11"/>
      <x:c r="J11" s="2"/>
      <x:c r="K11" s="2"/>
    </x:row>
    <x:row r="12" ht="23" customHeight="1">
      <x:c r="A12" s="11"/>
      <x:c r="B12" s="2"/>
      <x:c r="C12" s="2"/>
      <x:c r="D12" s="2"/>
      <x:c r="E12" s="10"/>
      <x:c r="F12" s="2"/>
      <x:c r="G12" s="2"/>
      <x:c r="H12" s="2"/>
      <x:c r="I12" s="11"/>
      <x:c r="J12" s="2"/>
      <x:c r="K12" s="2"/>
    </x:row>
    <x:row r="2001">
      <x:c r="A2001"/>
      <x:c r="B2001"/>
      <x:c r="C2001"/>
      <x:c r="D2001"/>
      <x:c r="E2001"/>
      <x:c r="F2001"/>
      <x:c r="G2001"/>
      <x:c r="H2001"/>
      <x:c r="I2001"/>
      <x:c r="J2001"/>
      <x:c r="K2001"/>
    </x:row>
  </x:sheetData>
  <x:conditionalFormatting sqref="H2:H2001">
    <x:cfRule type="containsText" dxfId="0" priority="1" operator="containsText" text="failed"/>
  </x:conditionalFormatting>
  <x:dataValidations count="4">
    <x:dataValidation type="list" sqref="F2:F2001">
      <x:formula1>"original,anonymized"</x:formula1>
    </x:dataValidation>
    <x:dataValidation type="list" sqref="G2:G2001">
      <x:formula1>"automation,development,research,education,other"</x:formula1>
    </x:dataValidation>
    <x:dataValidation type="list" sqref="H2:H2001">
      <x:formula1>"pending,succeeded,failed"</x:formula1>
    </x:dataValidation>
    <x:dataValidation type="list" sqref="J2:J2001">
      <x:formula1>"demo,live"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83" hidden="0" customWidth="1"/>
  </x:cols>
  <x:sheetData>
    <x:row r="1" ht="23" customHeight="1">
      <x:c r="A1" s="2"/>
      <x:c r="B1" s="2"/>
      <x:c r="C1" s="2"/>
    </x:row>
    <x:row r="2" ht="23" customHeight="1">
      <x:c r="A2" s="3" t="str">
        <x:v>OAAP · settings</x:v>
      </x:c>
      <x:c r="B2" s="2"/>
      <x:c r="C2" s="2"/>
    </x:row>
    <x:row r="3" ht="23" customHeight="1">
      <x:c r="A3" s="7" t="str">
        <x:v>Setting</x:v>
      </x:c>
      <x:c r="B3" s="7" t="str">
        <x:v>Value</x:v>
      </x:c>
      <x:c r="C3" s="7" t="str">
        <x:v>Meaning</x:v>
      </x:c>
    </x:row>
    <x:row r="4" ht="23" customHeight="1">
      <x:c r="A4" s="2" t="str">
        <x:v>Reporting source</x:v>
      </x:c>
      <x:c r="B4" s="12" t="str">
        <x:v>demo</x:v>
      </x:c>
      <x:c r="C4" s="2" t="str">
        <x:v>Choose demo or live. Test events never count as live usage.</x:v>
      </x:c>
    </x:row>
    <x:row r="5" ht="23" customHeight="1">
      <x:c r="A5" s="2" t="str">
        <x:v>As of (UTC)</x:v>
      </x:c>
      <x:c r="B5" s="14" t="n">
        <x:v>46280</x:v>
      </x:c>
      <x:c r="C5" s="2" t="str">
        <x:v>Editable reporting date; replace with TODAY() for a rolling report.</x:v>
      </x:c>
    </x:row>
    <x:row r="6" ht="23" customHeight="1">
      <x:c r="A6" s="2" t="str">
        <x:v>Receiver capacity</x:v>
      </x:c>
      <x:c r="B6" s="2" t="n">
        <x:v>2000</x:v>
      </x:c>
      <x:c r="C6" s="2" t="str">
        <x:v>The receiver stops at this fixed PoC capacity; it never silently drops rows from reports.</x:v>
      </x:c>
    </x:row>
    <x:row r="7" ht="42" customHeight="1">
      <x:c r="A7" s="2" t="str">
        <x:v>Repository</x:v>
      </x:c>
      <x:c r="B7" s="13" t="str">
        <x:v>https://github.com/YOUR_NAME/YOUR_REPOSITORY</x:v>
      </x:c>
      <x:c r="C7" s="2" t="str">
        <x:v>Set the same URL in the receiver Script Properties and oaap.json.</x:v>
      </x:c>
    </x:row>
    <x:row r="8" ht="42" customHeight="1">
      <x:c r="A8" s="2" t="str">
        <x:v>Receiver URL</x:v>
      </x:c>
      <x:c r="B8" s="13" t="str">
        <x:v>Not deployed yet</x:v>
      </x:c>
      <x:c r="C8" s="2" t="str">
        <x:v>After deployment, put the /exec URL here and in oaap.json.</x:v>
      </x:c>
    </x:row>
    <x:row r="9" ht="23" customHeight="1">
      <x:c r="A9" s="2" t="str">
        <x:v>Protocol version</x:v>
      </x:c>
      <x:c r="B9" s="2" t="str">
        <x:v>0.1</x:v>
      </x:c>
      <x:c r="C9" s="2" t="str">
        <x:v>Proof of concept. AI identity and results are self-reported.</x:v>
      </x:c>
    </x:row>
    <x:row r="10" ht="23" customHeight="1">
      <x:c r="A10" s="2" t="str">
        <x:v>Data ownership</x:v>
      </x:c>
      <x:c r="B10" s="2" t="str">
        <x:v>Maintainer</x:v>
      </x:c>
      <x:c r="C10" s="2" t="str">
        <x:v>Keep the sheet private. Only the write endpoint is public.</x:v>
      </x:c>
    </x:row>
    <x:row r="11" ht="23" customHeight="1">
      <x:c r="A11" s="2"/>
      <x:c r="B11" s="2"/>
      <x:c r="C11" s="2"/>
    </x:row>
    <x:row r="12" ht="36" customHeight="1">
      <x:c r="A12" s="2" t="str">
        <x:v>Prompt rule</x:v>
      </x:c>
      <x:c r="B12" s="10" t="str">
        <x:v>Ordinary: original. Idea: AI anonymizes.</x:v>
      </x:c>
      <x:c r="C12" s="2" t="str">
        <x:v>Never include secrets, personal identifiers, transcripts, or hidden reasoning.</x:v>
      </x:c>
    </x:row>
    <x:row r="13" ht="23" customHeight="1">
      <x:c r="A13" s="2"/>
      <x:c r="B13" s="2"/>
      <x:c r="C13" s="2"/>
    </x:row>
  </x:sheetData>
  <x:dataValidations count="1">
    <x:dataValidation type="list" sqref="B4">
      <x:formula1>"demo,live"</x:formula1>
    </x:dataValidation>
  </x:dataValidations>
  <x:pageMargins left="0.7" right="0.7" top="0.75" bottom="0.75" header="0.3" footer="0.3"/>
</x:worksheet>
</file>